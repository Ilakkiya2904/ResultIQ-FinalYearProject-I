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6.8984375" customWidth="1" style="1" min="1" max="1"/>
    <col width="8.59765625" bestFit="1" customWidth="1" style="1" min="2" max="2"/>
    <col width="16.296875" bestFit="1" customWidth="1" style="12" min="3" max="3"/>
    <col width="26.59765625" bestFit="1" customWidth="1" style="12" min="4" max="4"/>
    <col width="8.8984375" bestFit="1" customWidth="1" style="12" min="5" max="5"/>
    <col width="7.3984375" bestFit="1" customWidth="1" style="12" min="6" max="7"/>
  </cols>
  <sheetData>
    <row r="1" ht="56" customFormat="1" customHeight="1" s="2">
      <c r="A1" s="10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1" t="inlineStr">
        <is>
          <t>Result Analysis</t>
        </is>
      </c>
    </row>
    <row r="3" ht="37.25" customHeight="1" s="12" thickBot="1" thickTop="1">
      <c r="A3" s="7" t="inlineStr">
        <is>
          <t>Sl. No</t>
        </is>
      </c>
      <c r="B3" s="7" t="inlineStr">
        <is>
          <t>Roll No</t>
        </is>
      </c>
      <c r="C3" s="8" t="inlineStr">
        <is>
          <t>Regiter Number</t>
        </is>
      </c>
      <c r="D3" s="9" t="inlineStr">
        <is>
          <t>Name of the student</t>
        </is>
      </c>
      <c r="E3" s="8" t="inlineStr">
        <is>
          <t>CIT-1</t>
        </is>
      </c>
      <c r="F3" s="8" t="inlineStr">
        <is>
          <t>CIT-2</t>
        </is>
      </c>
      <c r="G3" s="8" t="inlineStr">
        <is>
          <t>CIT-3</t>
        </is>
      </c>
    </row>
    <row r="4" ht="20.15" customHeight="1" s="12" thickBot="1" thickTop="1">
      <c r="A4" s="3" t="n">
        <v>1</v>
      </c>
      <c r="B4" s="4" t="n">
        <v>245001</v>
      </c>
      <c r="C4" s="6" t="n">
        <v>910624105079</v>
      </c>
      <c r="D4" s="5" t="inlineStr">
        <is>
          <t>SWETHA  K</t>
        </is>
      </c>
      <c r="E4" s="6" t="n">
        <v>60</v>
      </c>
      <c r="F4" s="6" t="n">
        <v>90</v>
      </c>
      <c r="G4" s="6" t="n">
        <v>98</v>
      </c>
    </row>
    <row r="5" ht="20.15" customHeight="1" s="12" thickBot="1" thickTop="1">
      <c r="A5" s="3" t="n">
        <v>2</v>
      </c>
      <c r="B5" s="4" t="n">
        <v>245002</v>
      </c>
      <c r="C5" s="6" t="n">
        <v>910624105048</v>
      </c>
      <c r="D5" s="5" t="inlineStr">
        <is>
          <t>PRIYADARSHINI  S A</t>
        </is>
      </c>
      <c r="E5" s="6" t="n">
        <v>99</v>
      </c>
      <c r="F5" s="6" t="n">
        <v>98</v>
      </c>
      <c r="G5" s="6" t="n">
        <v>99</v>
      </c>
    </row>
    <row r="6" ht="20.15" customHeight="1" s="12" thickBot="1" thickTop="1">
      <c r="A6" s="3" t="n">
        <v>3</v>
      </c>
      <c r="B6" s="4" t="n">
        <v>245003</v>
      </c>
      <c r="C6" s="6" t="n">
        <v>910624105077</v>
      </c>
      <c r="D6" s="5" t="inlineStr">
        <is>
          <t>SUMITHRADEVI  A</t>
        </is>
      </c>
      <c r="E6" s="6" t="n">
        <v>78</v>
      </c>
      <c r="F6" s="6" t="n">
        <v>94</v>
      </c>
      <c r="G6" s="6" t="n">
        <v>99</v>
      </c>
    </row>
    <row r="7" ht="20.15" customHeight="1" s="12" thickBot="1" thickTop="1">
      <c r="A7" s="3" t="n">
        <v>4</v>
      </c>
      <c r="B7" s="4" t="n">
        <v>245004</v>
      </c>
      <c r="C7" s="6" t="n">
        <v>910624105086</v>
      </c>
      <c r="D7" s="5" t="inlineStr">
        <is>
          <t>VIJAYA DEEPA  P</t>
        </is>
      </c>
      <c r="E7" s="6" t="n">
        <v>99</v>
      </c>
      <c r="F7" s="6" t="n">
        <v>98</v>
      </c>
      <c r="G7" s="6" t="n">
        <v>99</v>
      </c>
    </row>
    <row r="8" ht="20.15" customHeight="1" s="12" thickBot="1" thickTop="1">
      <c r="A8" s="3" t="n">
        <v>5</v>
      </c>
      <c r="B8" s="4" t="n">
        <v>245005</v>
      </c>
      <c r="C8" s="6" t="n">
        <v>910624105069</v>
      </c>
      <c r="D8" s="5" t="inlineStr">
        <is>
          <t>SHRIRAM  K N</t>
        </is>
      </c>
      <c r="E8" s="6" t="n">
        <v>75</v>
      </c>
      <c r="F8" s="6" t="n">
        <v>79</v>
      </c>
      <c r="G8" s="6" t="n">
        <v>60</v>
      </c>
    </row>
    <row r="9" ht="20.15" customHeight="1" s="12" thickBot="1" thickTop="1">
      <c r="A9" s="3" t="n">
        <v>6</v>
      </c>
      <c r="B9" s="4" t="n">
        <v>245009</v>
      </c>
      <c r="C9" s="6" t="n">
        <v>910624105088</v>
      </c>
      <c r="D9" s="5" t="inlineStr">
        <is>
          <t>YOGESH  T M</t>
        </is>
      </c>
      <c r="E9" s="6" t="n">
        <v>38</v>
      </c>
      <c r="F9" s="6" t="inlineStr">
        <is>
          <t>AA</t>
        </is>
      </c>
      <c r="G9" s="6" t="n">
        <v>68</v>
      </c>
    </row>
    <row r="10" ht="20.15" customHeight="1" s="12" thickBot="1" thickTop="1">
      <c r="A10" s="3" t="n">
        <v>7</v>
      </c>
      <c r="B10" s="4" t="n">
        <v>245012</v>
      </c>
      <c r="C10" s="6" t="n">
        <v>910624105071</v>
      </c>
      <c r="D10" s="5" t="inlineStr">
        <is>
          <t>SIVABALAN  A</t>
        </is>
      </c>
      <c r="E10" s="6" t="n">
        <v>87</v>
      </c>
      <c r="F10" s="6" t="n">
        <v>88</v>
      </c>
      <c r="G10" s="6" t="n">
        <v>99</v>
      </c>
    </row>
    <row r="11" ht="20.15" customHeight="1" s="12" thickBot="1" thickTop="1">
      <c r="A11" s="3" t="n">
        <v>8</v>
      </c>
      <c r="B11" s="4" t="n">
        <v>245015</v>
      </c>
      <c r="C11" s="6" t="n">
        <v>910624105061</v>
      </c>
      <c r="D11" s="5" t="inlineStr">
        <is>
          <t>SANTHIYA  R R</t>
        </is>
      </c>
      <c r="E11" s="6" t="n">
        <v>99</v>
      </c>
      <c r="F11" s="6" t="n">
        <v>97</v>
      </c>
      <c r="G11" s="6" t="n">
        <v>99</v>
      </c>
    </row>
    <row r="12" ht="20.15" customHeight="1" s="12" thickBot="1" thickTop="1">
      <c r="A12" s="3" t="n">
        <v>9</v>
      </c>
      <c r="B12" s="4" t="n">
        <v>245016</v>
      </c>
      <c r="C12" s="6" t="n">
        <v>910624105065</v>
      </c>
      <c r="D12" s="5" t="inlineStr">
        <is>
          <t>SATHIYA PRIYA  N N</t>
        </is>
      </c>
      <c r="E12" s="6" t="n">
        <v>99</v>
      </c>
      <c r="F12" s="6" t="n">
        <v>98</v>
      </c>
      <c r="G12" s="6" t="n">
        <v>99</v>
      </c>
    </row>
    <row r="13" ht="20.15" customHeight="1" s="12" thickBot="1" thickTop="1">
      <c r="A13" s="3" t="n">
        <v>10</v>
      </c>
      <c r="B13" s="4" t="n">
        <v>245017</v>
      </c>
      <c r="C13" s="6" t="n">
        <v>910624105076</v>
      </c>
      <c r="D13" s="5" t="inlineStr">
        <is>
          <t>SUGAPRIYA  S</t>
        </is>
      </c>
      <c r="E13" s="6" t="n">
        <v>99</v>
      </c>
      <c r="F13" s="6" t="n">
        <v>98</v>
      </c>
      <c r="G13" s="6" t="n">
        <v>99</v>
      </c>
    </row>
    <row r="14" ht="20.15" customHeight="1" s="12" thickBot="1" thickTop="1">
      <c r="A14" s="3" t="n">
        <v>11</v>
      </c>
      <c r="B14" s="4" t="n">
        <v>245023</v>
      </c>
      <c r="C14" s="6" t="n">
        <v>910624105089</v>
      </c>
      <c r="D14" s="5" t="inlineStr">
        <is>
          <t>YUVASHRI  B</t>
        </is>
      </c>
      <c r="E14" s="6" t="n">
        <v>67</v>
      </c>
      <c r="F14" s="6" t="n">
        <v>90</v>
      </c>
      <c r="G14" s="6" t="n">
        <v>64</v>
      </c>
    </row>
    <row r="15" ht="20.15" customHeight="1" s="12" thickBot="1" thickTop="1">
      <c r="A15" s="3" t="n">
        <v>12</v>
      </c>
      <c r="B15" s="4" t="n">
        <v>245024</v>
      </c>
      <c r="C15" s="6" t="n">
        <v>910624105062</v>
      </c>
      <c r="D15" s="5" t="inlineStr">
        <is>
          <t>SANTHOSH KUMAR  S S</t>
        </is>
      </c>
      <c r="E15" s="6" t="n">
        <v>95</v>
      </c>
      <c r="F15" s="6" t="n">
        <v>88</v>
      </c>
      <c r="G15" s="6" t="n">
        <v>96</v>
      </c>
    </row>
    <row r="16" ht="20.15" customHeight="1" s="12" thickBot="1" thickTop="1">
      <c r="A16" s="3" t="n">
        <v>13</v>
      </c>
      <c r="B16" s="4" t="n">
        <v>245025</v>
      </c>
      <c r="C16" s="6" t="n">
        <v>910624105085</v>
      </c>
      <c r="D16" s="5" t="inlineStr">
        <is>
          <t>VIGNESH  E R</t>
        </is>
      </c>
      <c r="E16" s="6" t="n">
        <v>71</v>
      </c>
      <c r="F16" s="6" t="n">
        <v>97</v>
      </c>
      <c r="G16" s="6" t="n">
        <v>96</v>
      </c>
    </row>
    <row r="17" ht="20.15" customHeight="1" s="12" thickBot="1" thickTop="1">
      <c r="A17" s="3" t="n">
        <v>14</v>
      </c>
      <c r="B17" s="4" t="n">
        <v>245026</v>
      </c>
      <c r="C17" s="6" t="n">
        <v>910624105078</v>
      </c>
      <c r="D17" s="5" t="inlineStr">
        <is>
          <t>SWATHY  R B</t>
        </is>
      </c>
      <c r="E17" s="6" t="n">
        <v>96</v>
      </c>
      <c r="F17" s="6" t="n">
        <v>98</v>
      </c>
      <c r="G17" s="6" t="n">
        <v>99</v>
      </c>
    </row>
    <row r="18" ht="20.15" customHeight="1" s="12" thickBot="1" thickTop="1">
      <c r="A18" s="3" t="n">
        <v>15</v>
      </c>
      <c r="B18" s="4" t="n">
        <v>245029</v>
      </c>
      <c r="C18" s="6" t="n">
        <v>910624105047</v>
      </c>
      <c r="D18" s="5" t="inlineStr">
        <is>
          <t>PRADEEPA  P</t>
        </is>
      </c>
      <c r="E18" s="6" t="n">
        <v>92</v>
      </c>
      <c r="F18" s="6" t="n">
        <v>98</v>
      </c>
      <c r="G18" s="6" t="n">
        <v>99</v>
      </c>
    </row>
    <row r="19" ht="20.15" customHeight="1" s="12" thickBot="1" thickTop="1">
      <c r="A19" s="3" t="n">
        <v>16</v>
      </c>
      <c r="B19" s="4" t="n">
        <v>245030</v>
      </c>
      <c r="C19" s="6" t="n">
        <v>910624105057</v>
      </c>
      <c r="D19" s="5" t="inlineStr">
        <is>
          <t>ROHITH  B C</t>
        </is>
      </c>
      <c r="E19" s="6" t="n">
        <v>66</v>
      </c>
      <c r="F19" s="6" t="n">
        <v>89</v>
      </c>
      <c r="G19" s="6" t="n">
        <v>68</v>
      </c>
    </row>
    <row r="20" ht="20.15" customHeight="1" s="12" thickBot="1" thickTop="1">
      <c r="A20" s="3" t="n">
        <v>17</v>
      </c>
      <c r="B20" s="4" t="n">
        <v>245037</v>
      </c>
      <c r="C20" s="6" t="n">
        <v>910624105067</v>
      </c>
      <c r="D20" s="5" t="inlineStr">
        <is>
          <t>SHAM  B</t>
        </is>
      </c>
      <c r="E20" s="6" t="n">
        <v>42</v>
      </c>
      <c r="F20" s="6" t="n">
        <v>75</v>
      </c>
      <c r="G20" s="6" t="n">
        <v>52</v>
      </c>
    </row>
    <row r="21" ht="20.15" customHeight="1" s="12" thickBot="1" thickTop="1">
      <c r="A21" s="3" t="n">
        <v>18</v>
      </c>
      <c r="B21" s="4" t="n">
        <v>245101</v>
      </c>
      <c r="C21" s="6" t="n">
        <v>910624105064</v>
      </c>
      <c r="D21" s="5" t="inlineStr">
        <is>
          <t>SANTHOSHINI  T Y</t>
        </is>
      </c>
      <c r="E21" s="6" t="n">
        <v>98</v>
      </c>
      <c r="F21" s="6" t="n">
        <v>98</v>
      </c>
      <c r="G21" s="6" t="n">
        <v>99</v>
      </c>
    </row>
    <row r="22" ht="20.15" customHeight="1" s="12" thickBot="1" thickTop="1">
      <c r="A22" s="3" t="n">
        <v>19</v>
      </c>
      <c r="B22" s="4" t="n">
        <v>245103</v>
      </c>
      <c r="C22" s="6" t="n">
        <v>910624105072</v>
      </c>
      <c r="D22" s="5" t="inlineStr">
        <is>
          <t>SIVAS  M S</t>
        </is>
      </c>
      <c r="E22" s="6" t="n">
        <v>52</v>
      </c>
      <c r="F22" s="6" t="n">
        <v>70</v>
      </c>
      <c r="G22" s="6" t="n">
        <v>60</v>
      </c>
    </row>
    <row r="23" ht="20.15" customHeight="1" s="12" thickBot="1" thickTop="1">
      <c r="A23" s="3" t="n">
        <v>20</v>
      </c>
      <c r="B23" s="4" t="n">
        <v>245105</v>
      </c>
      <c r="C23" s="6" t="n">
        <v>910624105066</v>
      </c>
      <c r="D23" s="5" t="inlineStr">
        <is>
          <t>SHALINI  A P</t>
        </is>
      </c>
      <c r="E23" s="6" t="n">
        <v>92</v>
      </c>
      <c r="F23" s="6" t="n">
        <v>96</v>
      </c>
      <c r="G23" s="6" t="n">
        <v>99</v>
      </c>
    </row>
    <row r="24" ht="20.15" customHeight="1" s="12" thickBot="1" thickTop="1">
      <c r="A24" s="3" t="n">
        <v>21</v>
      </c>
      <c r="B24" s="4" t="n">
        <v>245106</v>
      </c>
      <c r="C24" s="6" t="n">
        <v>910624105053</v>
      </c>
      <c r="D24" s="5" t="inlineStr">
        <is>
          <t>RASHIKAMAI  V R</t>
        </is>
      </c>
      <c r="E24" s="6" t="n">
        <v>96</v>
      </c>
      <c r="F24" s="6" t="n">
        <v>90</v>
      </c>
      <c r="G24" s="6" t="n">
        <v>99</v>
      </c>
    </row>
    <row r="25" ht="20.15" customHeight="1" s="12" thickBot="1" thickTop="1">
      <c r="A25" s="3" t="n">
        <v>22</v>
      </c>
      <c r="B25" s="4" t="n">
        <v>245107</v>
      </c>
      <c r="C25" s="6" t="n">
        <v>910624105051</v>
      </c>
      <c r="D25" s="5" t="inlineStr">
        <is>
          <t>RAM BALAJI  A P</t>
        </is>
      </c>
      <c r="E25" s="6" t="n">
        <v>25</v>
      </c>
      <c r="F25" s="6" t="n">
        <v>75</v>
      </c>
      <c r="G25" s="6" t="n">
        <v>70</v>
      </c>
    </row>
    <row r="26" ht="20.15" customHeight="1" s="12" thickBot="1" thickTop="1">
      <c r="A26" s="3" t="n">
        <v>23</v>
      </c>
      <c r="B26" s="4" t="n">
        <v>245109</v>
      </c>
      <c r="C26" s="6" t="n">
        <v>910624105081</v>
      </c>
      <c r="D26" s="5" t="inlineStr">
        <is>
          <t>THIRUMALESH  S S</t>
        </is>
      </c>
      <c r="E26" s="6" t="n">
        <v>92</v>
      </c>
      <c r="F26" s="6" t="n">
        <v>78</v>
      </c>
      <c r="G26" s="6" t="n">
        <v>92</v>
      </c>
    </row>
    <row r="27" ht="20.15" customHeight="1" s="12" thickBot="1" thickTop="1">
      <c r="A27" s="3" t="n">
        <v>24</v>
      </c>
      <c r="B27" s="4" t="n">
        <v>245111</v>
      </c>
      <c r="C27" s="6" t="n">
        <v>910624105059</v>
      </c>
      <c r="D27" s="5" t="inlineStr">
        <is>
          <t>ROOPASRI  K R</t>
        </is>
      </c>
      <c r="E27" s="6" t="n">
        <v>96</v>
      </c>
      <c r="F27" s="6" t="n">
        <v>98</v>
      </c>
      <c r="G27" s="6" t="n">
        <v>99</v>
      </c>
    </row>
    <row r="28" ht="20.15" customHeight="1" s="12" thickBot="1" thickTop="1">
      <c r="A28" s="3" t="n">
        <v>25</v>
      </c>
      <c r="B28" s="4" t="n">
        <v>245112</v>
      </c>
      <c r="C28" s="6" t="n">
        <v>910624105082</v>
      </c>
      <c r="D28" s="5" t="inlineStr">
        <is>
          <t>VANITHA  B M</t>
        </is>
      </c>
      <c r="E28" s="6" t="n">
        <v>86</v>
      </c>
      <c r="F28" s="6" t="n">
        <v>98</v>
      </c>
      <c r="G28" s="6" t="n">
        <v>99</v>
      </c>
    </row>
    <row r="29" ht="20.15" customHeight="1" s="12" thickBot="1" thickTop="1">
      <c r="A29" s="3" t="n">
        <v>26</v>
      </c>
      <c r="B29" s="4" t="n">
        <v>245113</v>
      </c>
      <c r="C29" s="6" t="n">
        <v>910624105068</v>
      </c>
      <c r="D29" s="5" t="inlineStr">
        <is>
          <t>SHARUKESH  K S</t>
        </is>
      </c>
      <c r="E29" s="6" t="n">
        <v>84</v>
      </c>
      <c r="F29" s="6" t="n">
        <v>96</v>
      </c>
      <c r="G29" s="6" t="n">
        <v>99</v>
      </c>
    </row>
    <row r="30" ht="20.15" customHeight="1" s="12" thickBot="1" thickTop="1">
      <c r="A30" s="3" t="n">
        <v>27</v>
      </c>
      <c r="B30" s="4" t="n">
        <v>245114</v>
      </c>
      <c r="C30" s="6" t="n">
        <v>910624105050</v>
      </c>
      <c r="D30" s="5" t="inlineStr">
        <is>
          <t>RAKSHITHA  P N</t>
        </is>
      </c>
      <c r="E30" s="6" t="n">
        <v>82</v>
      </c>
      <c r="F30" s="6" t="n">
        <v>98</v>
      </c>
      <c r="G30" s="6" t="n">
        <v>98</v>
      </c>
    </row>
    <row r="31" ht="20.15" customHeight="1" s="12" thickBot="1" thickTop="1">
      <c r="A31" s="3" t="n">
        <v>28</v>
      </c>
      <c r="B31" s="4" t="n">
        <v>245117</v>
      </c>
      <c r="C31" s="6" t="n">
        <v>910624105083</v>
      </c>
      <c r="D31" s="5" t="inlineStr">
        <is>
          <t>VENKATESWARAN  P K</t>
        </is>
      </c>
      <c r="E31" s="6" t="n">
        <v>56</v>
      </c>
      <c r="F31" s="6" t="n">
        <v>80</v>
      </c>
      <c r="G31" s="6" t="n">
        <v>53</v>
      </c>
    </row>
    <row r="32" ht="20.15" customHeight="1" s="12" thickBot="1" thickTop="1">
      <c r="A32" s="3" t="n">
        <v>29</v>
      </c>
      <c r="B32" s="4" t="n">
        <v>245303</v>
      </c>
      <c r="C32" s="6" t="n">
        <v>910624105054</v>
      </c>
      <c r="D32" s="5" t="inlineStr">
        <is>
          <t>RASIGA  R</t>
        </is>
      </c>
      <c r="E32" s="6" t="n">
        <v>96</v>
      </c>
      <c r="F32" s="6" t="n">
        <v>96</v>
      </c>
      <c r="G32" s="6" t="n">
        <v>99</v>
      </c>
    </row>
    <row r="33" ht="20.15" customHeight="1" s="12" thickBot="1" thickTop="1">
      <c r="A33" s="3" t="n">
        <v>30</v>
      </c>
      <c r="B33" s="4" t="n">
        <v>245304</v>
      </c>
      <c r="C33" s="6" t="n">
        <v>910624105055</v>
      </c>
      <c r="D33" s="5" t="inlineStr">
        <is>
          <t>RITHIK  G</t>
        </is>
      </c>
      <c r="E33" s="6" t="n">
        <v>50</v>
      </c>
      <c r="F33" s="6" t="n">
        <v>75</v>
      </c>
      <c r="G33" s="6" t="n">
        <v>68</v>
      </c>
    </row>
    <row r="34" ht="20.15" customHeight="1" s="12" thickBot="1" thickTop="1">
      <c r="A34" s="3" t="n">
        <v>31</v>
      </c>
      <c r="B34" s="4" t="n">
        <v>245305</v>
      </c>
      <c r="C34" s="6" t="n">
        <v>910624105060</v>
      </c>
      <c r="D34" s="5" t="inlineStr">
        <is>
          <t>SANDHIYA  M</t>
        </is>
      </c>
      <c r="E34" s="6" t="n">
        <v>82</v>
      </c>
      <c r="F34" s="6" t="n">
        <v>90</v>
      </c>
      <c r="G34" s="6" t="n">
        <v>99</v>
      </c>
    </row>
    <row r="35" ht="20.15" customHeight="1" s="12" thickBot="1" thickTop="1">
      <c r="A35" s="3" t="n">
        <v>32</v>
      </c>
      <c r="B35" s="4" t="n">
        <v>245310</v>
      </c>
      <c r="C35" s="6" t="n">
        <v>910624105074</v>
      </c>
      <c r="D35" s="5" t="inlineStr">
        <is>
          <t>SRINITHI RAJ  T</t>
        </is>
      </c>
      <c r="E35" s="6" t="n">
        <v>50</v>
      </c>
      <c r="F35" s="6" t="n">
        <v>93</v>
      </c>
      <c r="G35" s="6" t="n">
        <v>72</v>
      </c>
    </row>
    <row r="36" ht="20.15" customHeight="1" s="12" thickBot="1" thickTop="1">
      <c r="A36" s="3" t="n">
        <v>33</v>
      </c>
      <c r="B36" s="4" t="n">
        <v>245311</v>
      </c>
      <c r="C36" s="6" t="n">
        <v>910624105052</v>
      </c>
      <c r="D36" s="5" t="inlineStr">
        <is>
          <t>RAMACHANDRAN  P</t>
        </is>
      </c>
      <c r="E36" s="6" t="n">
        <v>68</v>
      </c>
      <c r="F36" s="6" t="n">
        <v>90</v>
      </c>
      <c r="G36" s="6" t="n">
        <v>88</v>
      </c>
    </row>
    <row r="37" ht="20.15" customHeight="1" s="12" thickBot="1" thickTop="1">
      <c r="A37" s="3" t="n">
        <v>34</v>
      </c>
      <c r="B37" s="4" t="n">
        <v>245312</v>
      </c>
      <c r="C37" s="6" t="n">
        <v>910624105046</v>
      </c>
      <c r="D37" s="5" t="inlineStr">
        <is>
          <t>PADMAPRIYA  T</t>
        </is>
      </c>
      <c r="E37" s="6" t="n">
        <v>70</v>
      </c>
      <c r="F37" s="6" t="n">
        <v>85</v>
      </c>
      <c r="G37" s="6" t="n">
        <v>92</v>
      </c>
    </row>
    <row r="38" ht="20.15" customHeight="1" s="12" thickBot="1" thickTop="1">
      <c r="A38" s="3" t="n">
        <v>35</v>
      </c>
      <c r="B38" s="4" t="n">
        <v>245314</v>
      </c>
      <c r="C38" s="6" t="n">
        <v>910624105075</v>
      </c>
      <c r="D38" s="5" t="inlineStr">
        <is>
          <t>SRIRAM  R</t>
        </is>
      </c>
      <c r="E38" s="6" t="n">
        <v>78</v>
      </c>
      <c r="F38" s="6" t="n">
        <v>68</v>
      </c>
      <c r="G38" s="6" t="n">
        <v>64</v>
      </c>
    </row>
    <row r="39" ht="20.15" customHeight="1" s="12" thickBot="1" thickTop="1">
      <c r="A39" s="3" t="n">
        <v>36</v>
      </c>
      <c r="B39" s="4" t="n">
        <v>245315</v>
      </c>
      <c r="C39" s="6" t="n">
        <v>910624105049</v>
      </c>
      <c r="D39" s="5" t="inlineStr">
        <is>
          <t>RAJKUMAR  S</t>
        </is>
      </c>
      <c r="E39" s="6" t="inlineStr">
        <is>
          <t>AA</t>
        </is>
      </c>
      <c r="F39" s="6" t="n">
        <v>68</v>
      </c>
      <c r="G39" s="6" t="n">
        <v>56</v>
      </c>
    </row>
    <row r="40" ht="20.15" customHeight="1" s="12" thickBot="1" thickTop="1">
      <c r="A40" s="3" t="n">
        <v>37</v>
      </c>
      <c r="B40" s="4" t="n">
        <v>245320</v>
      </c>
      <c r="C40" s="6" t="n">
        <v>910624105056</v>
      </c>
      <c r="D40" s="5" t="inlineStr">
        <is>
          <t>RITHIKA  S</t>
        </is>
      </c>
      <c r="E40" s="6" t="n">
        <v>78</v>
      </c>
      <c r="F40" s="6" t="n">
        <v>80</v>
      </c>
      <c r="G40" s="6" t="n">
        <v>94</v>
      </c>
    </row>
    <row r="41" ht="20.15" customHeight="1" s="12" thickBot="1" thickTop="1">
      <c r="A41" s="3" t="n">
        <v>38</v>
      </c>
      <c r="B41" s="4" t="n">
        <v>245322</v>
      </c>
      <c r="C41" s="6" t="n">
        <v>910624105073</v>
      </c>
      <c r="D41" s="5" t="inlineStr">
        <is>
          <t>SOLAI RAJ  K</t>
        </is>
      </c>
      <c r="E41" s="6" t="n">
        <v>80</v>
      </c>
      <c r="F41" s="6" t="n">
        <v>78</v>
      </c>
      <c r="G41" s="6" t="n">
        <v>82</v>
      </c>
    </row>
    <row r="42" ht="20.15" customHeight="1" s="12" thickBot="1" thickTop="1">
      <c r="A42" s="3" t="n">
        <v>39</v>
      </c>
      <c r="B42" s="4" t="n">
        <v>245323</v>
      </c>
      <c r="C42" s="6" t="n">
        <v>910624105080</v>
      </c>
      <c r="D42" s="5" t="inlineStr">
        <is>
          <t>THAJESH SHALINI  M</t>
        </is>
      </c>
      <c r="E42" s="6" t="n">
        <v>76</v>
      </c>
      <c r="F42" s="6" t="n">
        <v>88</v>
      </c>
      <c r="G42" s="6" t="n">
        <v>82</v>
      </c>
    </row>
    <row r="43" ht="20.15" customHeight="1" s="12" thickBot="1" thickTop="1">
      <c r="A43" s="3" t="n">
        <v>40</v>
      </c>
      <c r="B43" s="4" t="n">
        <v>245325</v>
      </c>
      <c r="C43" s="6" t="n">
        <v>910624105070</v>
      </c>
      <c r="D43" s="5" t="inlineStr">
        <is>
          <t>SIVA SAKTHI SANTHOSH  K</t>
        </is>
      </c>
      <c r="E43" s="6" t="n">
        <v>68</v>
      </c>
      <c r="F43" s="6" t="n">
        <v>80</v>
      </c>
      <c r="G43" s="6" t="n">
        <v>92</v>
      </c>
    </row>
    <row r="44" ht="20.15" customHeight="1" s="12" thickBot="1" thickTop="1">
      <c r="A44" s="3" t="n">
        <v>41</v>
      </c>
      <c r="B44" s="4" t="n">
        <v>245327</v>
      </c>
      <c r="C44" s="6" t="n">
        <v>910624105087</v>
      </c>
      <c r="D44" s="5" t="inlineStr">
        <is>
          <t>VINOTH  V</t>
        </is>
      </c>
      <c r="E44" s="6" t="inlineStr">
        <is>
          <t>AA</t>
        </is>
      </c>
      <c r="F44" s="6" t="inlineStr">
        <is>
          <t>AA</t>
        </is>
      </c>
      <c r="G44" s="6" t="n">
        <v>80</v>
      </c>
    </row>
    <row r="45" ht="20.15" customHeight="1" s="12" thickBot="1" thickTop="1">
      <c r="A45" s="3" t="n">
        <v>42</v>
      </c>
      <c r="B45" s="4" t="n">
        <v>245329</v>
      </c>
      <c r="C45" s="6" t="n">
        <v>910624105063</v>
      </c>
      <c r="D45" s="5" t="inlineStr">
        <is>
          <t>SANTHOSH  R</t>
        </is>
      </c>
      <c r="E45" s="6" t="n">
        <v>56</v>
      </c>
      <c r="F45" s="6" t="n">
        <v>70</v>
      </c>
      <c r="G45" s="6" t="n">
        <v>66</v>
      </c>
    </row>
    <row r="46" ht="19.4" customHeight="1" s="12" thickBot="1" thickTop="1">
      <c r="A46" s="3" t="n">
        <v>43</v>
      </c>
      <c r="B46" s="4" t="n">
        <v>245332</v>
      </c>
      <c r="C46" s="6" t="n">
        <v>910624105058</v>
      </c>
      <c r="D46" s="5" t="inlineStr">
        <is>
          <t>ROJASRI  K</t>
        </is>
      </c>
      <c r="E46" s="6" t="n">
        <v>60</v>
      </c>
      <c r="F46" s="6" t="n">
        <v>88</v>
      </c>
      <c r="G46" s="6" t="n">
        <v>78</v>
      </c>
    </row>
    <row r="47" ht="20.15" customHeight="1" s="12" thickBot="1" thickTop="1">
      <c r="A47" s="3" t="n">
        <v>44</v>
      </c>
      <c r="B47" s="4" t="n">
        <v>245333</v>
      </c>
      <c r="C47" s="6" t="n">
        <v>910624105084</v>
      </c>
      <c r="D47" s="5" t="inlineStr">
        <is>
          <t>VENU PRAKASH  P</t>
        </is>
      </c>
      <c r="E47" s="6" t="inlineStr">
        <is>
          <t>AA</t>
        </is>
      </c>
      <c r="F47" s="6" t="n">
        <v>75</v>
      </c>
      <c r="G47" s="6" t="n">
        <v>22</v>
      </c>
    </row>
    <row r="48" ht="20.15" customHeight="1" s="12" thickBot="1" thickTop="1">
      <c r="A48" s="3" t="n">
        <v>45</v>
      </c>
      <c r="B48" s="4" t="n">
        <v>235116</v>
      </c>
      <c r="C48" s="6" t="n">
        <v>910623105087</v>
      </c>
      <c r="D48" s="5" t="inlineStr">
        <is>
          <t>VISHNU KUMAR  N S</t>
        </is>
      </c>
      <c r="E48" s="6" t="n">
        <v>22</v>
      </c>
      <c r="F48" s="6" t="n">
        <v>55</v>
      </c>
      <c r="G48" s="6" t="n">
        <v>38</v>
      </c>
    </row>
    <row r="49" ht="20.15" customHeight="1" s="12" thickBot="1" thickTop="1">
      <c r="A49" s="3" t="n">
        <v>46</v>
      </c>
      <c r="B49" s="4" t="n">
        <v>255904</v>
      </c>
      <c r="C49" s="6" t="n">
        <v>910624105301</v>
      </c>
      <c r="D49" s="5" t="inlineStr">
        <is>
          <t>K V K PRANAV</t>
        </is>
      </c>
      <c r="E49" s="6" t="inlineStr">
        <is>
          <t>AA</t>
        </is>
      </c>
      <c r="F49" s="6" t="n">
        <v>65</v>
      </c>
      <c r="G49" s="6" t="n">
        <v>50</v>
      </c>
    </row>
    <row r="50" ht="20.15" customHeight="1" s="12" thickBot="1" thickTop="1">
      <c r="A50" s="13" t="n"/>
      <c r="B50" s="14" t="n"/>
      <c r="C50" s="13" t="n"/>
      <c r="D50" s="15" t="inlineStr">
        <is>
          <t>appeared</t>
        </is>
      </c>
      <c r="E50" s="13">
        <f>46-COUNTIF(E4:E49,"aa")</f>
        <v/>
      </c>
      <c r="F50" s="13">
        <f>46-COUNTIF(F4:F49,"aa")</f>
        <v/>
      </c>
      <c r="G50" s="13">
        <f>46-COUNTIF(G4:G49,"aa")</f>
        <v/>
      </c>
    </row>
    <row r="51" ht="20.15" customHeight="1" s="12" thickBot="1" thickTop="1">
      <c r="A51" s="13" t="n"/>
      <c r="B51" s="14" t="n"/>
      <c r="C51" s="13" t="n"/>
      <c r="D51" s="15" t="inlineStr">
        <is>
          <t xml:space="preserve">passed </t>
        </is>
      </c>
      <c r="E51" s="13">
        <f>COUNTIF(E4:E49,"&gt;=50")</f>
        <v/>
      </c>
      <c r="F51" s="13">
        <f>COUNTIF(F4:F49,"&gt;=50")</f>
        <v/>
      </c>
      <c r="G51" s="13">
        <f>COUNTIF(G4:G49,"&gt;=50")</f>
        <v/>
      </c>
    </row>
    <row r="52" ht="20.15" customHeight="1" s="12" thickBot="1" thickTop="1">
      <c r="A52" s="13" t="n"/>
      <c r="B52" s="14" t="n"/>
      <c r="C52" s="13" t="n"/>
      <c r="D52" s="15" t="inlineStr">
        <is>
          <t>% passed</t>
        </is>
      </c>
      <c r="E52" s="13">
        <f>E51/E50*100</f>
        <v/>
      </c>
      <c r="F52" s="13">
        <f>F51/F50*100</f>
        <v/>
      </c>
      <c r="G52" s="13">
        <f>G51/G50*100</f>
        <v/>
      </c>
    </row>
    <row r="53" ht="20.15" customHeight="1" s="12" thickBot="1" thickTop="1">
      <c r="A53" s="13" t="n"/>
      <c r="B53" s="14" t="n"/>
      <c r="C53" s="13" t="n"/>
      <c r="D53" s="15" t="inlineStr">
        <is>
          <t>below 50%</t>
        </is>
      </c>
      <c r="E53" s="13">
        <f>COUNTIF(E4:E49,"&lt;50")</f>
        <v/>
      </c>
      <c r="F53" s="13">
        <f>COUNTIF(F4:F49,"&lt;50")</f>
        <v/>
      </c>
      <c r="G53" s="13">
        <f>COUNTIF(G4:G49,"&lt;50")</f>
        <v/>
      </c>
    </row>
    <row r="54" ht="20.15" customHeight="1" s="12" thickBot="1" thickTop="1">
      <c r="A54" s="13" t="n"/>
      <c r="B54" s="14" t="n"/>
      <c r="C54" s="13" t="n"/>
      <c r="D54" s="15" t="inlineStr">
        <is>
          <t>50%-60%</t>
        </is>
      </c>
      <c r="E54" s="13">
        <f>COUNTIFS(E4:E49,"&gt;=50",E4:E49,"&lt;=60")</f>
        <v/>
      </c>
      <c r="F54" s="13">
        <f>COUNTIFS(F4:F49,"&gt;=50",F4:F49,"&lt;=60")</f>
        <v/>
      </c>
      <c r="G54" s="13">
        <f>COUNTIFS(G4:G49,"&gt;=50",G4:G49,"&lt;=60")</f>
        <v/>
      </c>
    </row>
    <row r="55" ht="20.15" customHeight="1" s="12" thickBot="1" thickTop="1">
      <c r="A55" s="13" t="n"/>
      <c r="B55" s="14" t="n"/>
      <c r="C55" s="13" t="n"/>
      <c r="D55" s="15" t="inlineStr">
        <is>
          <t>61%-70%</t>
        </is>
      </c>
      <c r="E55" s="13">
        <f>COUNTIFS(E4:E49,"&gt;=61",E4:E49,"&lt;=70")</f>
        <v/>
      </c>
      <c r="F55" s="13">
        <f>COUNTIFS(F4:F49,"&gt;=61",F4:F49,"&lt;=70")</f>
        <v/>
      </c>
      <c r="G55" s="13">
        <f>COUNTIFS(G4:G49,"&gt;=61",G4:G49,"&lt;=70")</f>
        <v/>
      </c>
    </row>
    <row r="56" ht="20.15" customHeight="1" s="12" thickBot="1" thickTop="1">
      <c r="A56" s="13" t="n"/>
      <c r="B56" s="14" t="n"/>
      <c r="C56" s="13" t="n"/>
      <c r="D56" s="15" t="inlineStr">
        <is>
          <t>71%-80%</t>
        </is>
      </c>
      <c r="E56" s="13">
        <f>COUNTIFS(E4:E49,"&gt;=71",E4:E49,"&lt;=80")</f>
        <v/>
      </c>
      <c r="F56" s="13">
        <f>COUNTIFS(F4:F49,"&gt;=71",F4:F49,"&lt;=80")</f>
        <v/>
      </c>
      <c r="G56" s="13">
        <f>COUNTIFS(G4:G49,"&gt;=71",G4:G49,"&lt;=80")</f>
        <v/>
      </c>
    </row>
    <row r="57" ht="15" customHeight="1" s="12" thickBot="1" thickTop="1">
      <c r="A57" s="13" t="n"/>
      <c r="B57" s="14" t="n"/>
      <c r="C57" s="13" t="n"/>
      <c r="D57" s="15" t="inlineStr">
        <is>
          <t>81%-90%</t>
        </is>
      </c>
      <c r="E57" s="13">
        <f>COUNTIFS(E4:E49,"&gt;=81",E4:E49,"&lt;=90")</f>
        <v/>
      </c>
      <c r="F57" s="13">
        <f>COUNTIFS(F4:F49,"&gt;=81",F4:F49,"&lt;=90")</f>
        <v/>
      </c>
      <c r="G57" s="13">
        <f>COUNTIFS(G4:G49,"&gt;=81",G4:G49,"&lt;=90")</f>
        <v/>
      </c>
    </row>
    <row r="58" ht="15" customHeight="1" s="12" thickBot="1" thickTop="1">
      <c r="A58" s="13" t="n"/>
      <c r="B58" s="14" t="n"/>
      <c r="C58" s="13" t="n"/>
      <c r="D58" s="15" t="inlineStr">
        <is>
          <t>91%-100%</t>
        </is>
      </c>
      <c r="E58" s="13">
        <f>COUNTIFS(E4:E49,"&gt;=91",E4:E49,"&lt;=100")</f>
        <v/>
      </c>
      <c r="F58" s="13">
        <f>COUNTIFS(F4:F49,"&gt;=91",F4:F49,"&lt;=100")</f>
        <v/>
      </c>
      <c r="G58" s="13">
        <f>COUNTIFS(G4:G49,"&gt;=91",G4:G49,"&lt;=100")</f>
        <v/>
      </c>
    </row>
    <row r="59" ht="13.5" customHeight="1" s="12" thickTop="1"/>
    <row r="60"/>
    <row r="61"/>
    <row r="62"/>
    <row r="63"/>
    <row r="64"/>
    <row r="65"/>
    <row r="66">
      <c r="B66" s="1" t="inlineStr">
        <is>
          <t>Faculty Incharge</t>
        </is>
      </c>
      <c r="F66" s="0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2026-09-24T10:30:48Z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