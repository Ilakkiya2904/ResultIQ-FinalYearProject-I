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_CSE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Register No</t>
        </is>
      </c>
      <c r="C1" t="inlineStr">
        <is>
          <t>Student Name</t>
        </is>
      </c>
      <c r="D1" t="inlineStr">
        <is>
          <t>Internal 1</t>
        </is>
      </c>
      <c r="E1" t="inlineStr">
        <is>
          <t>Internal 2</t>
        </is>
      </c>
      <c r="F1" t="inlineStr">
        <is>
          <t>Model Exam</t>
        </is>
      </c>
    </row>
    <row r="2">
      <c r="A2" t="n">
        <v>1</v>
      </c>
      <c r="B2" t="inlineStr">
        <is>
          <t>24CS101</t>
        </is>
      </c>
      <c r="C2" t="inlineStr">
        <is>
          <t>Aarav Sharma</t>
        </is>
      </c>
      <c r="D2" t="n">
        <v>85</v>
      </c>
      <c r="E2" t="n">
        <v>90</v>
      </c>
      <c r="F2" t="n">
        <v>88</v>
      </c>
    </row>
    <row r="3">
      <c r="A3" t="n">
        <v>2</v>
      </c>
      <c r="B3" t="inlineStr">
        <is>
          <t>24CS102</t>
        </is>
      </c>
      <c r="C3" t="inlineStr">
        <is>
          <t>Bhavna Patel</t>
        </is>
      </c>
      <c r="D3" t="n">
        <v>45</v>
      </c>
      <c r="E3" t="n">
        <v>78</v>
      </c>
      <c r="F3" t="n">
        <v>62</v>
      </c>
    </row>
    <row r="4">
      <c r="A4" t="n">
        <v>3</v>
      </c>
      <c r="B4" t="inlineStr">
        <is>
          <t>24CS103</t>
        </is>
      </c>
      <c r="C4" t="inlineStr">
        <is>
          <t>Chirag Reddy</t>
        </is>
      </c>
      <c r="D4" t="inlineStr">
        <is>
          <t>AA</t>
        </is>
      </c>
      <c r="E4" t="n">
        <v>82</v>
      </c>
      <c r="F4" t="n">
        <v>75</v>
      </c>
    </row>
    <row r="5">
      <c r="A5" t="n">
        <v>4</v>
      </c>
      <c r="B5" t="inlineStr">
        <is>
          <t>24CS104</t>
        </is>
      </c>
      <c r="C5" t="inlineStr">
        <is>
          <t>Divya Nair</t>
        </is>
      </c>
      <c r="D5" t="n">
        <v>92</v>
      </c>
      <c r="E5" t="n">
        <v>95</v>
      </c>
      <c r="F5" t="n">
        <v>98</v>
      </c>
    </row>
    <row r="6">
      <c r="A6" t="n">
        <v>5</v>
      </c>
      <c r="B6" t="inlineStr">
        <is>
          <t>24CS105</t>
        </is>
      </c>
      <c r="C6" t="inlineStr">
        <is>
          <t>Eshaan Verma</t>
        </is>
      </c>
      <c r="D6" t="n">
        <v>38</v>
      </c>
      <c r="E6" t="n">
        <v>42</v>
      </c>
      <c r="F6" t="n">
        <v>55</v>
      </c>
    </row>
    <row r="7">
      <c r="A7" t="n">
        <v>6</v>
      </c>
      <c r="B7" t="inlineStr">
        <is>
          <t>24CS106</t>
        </is>
      </c>
      <c r="C7" t="inlineStr">
        <is>
          <t>Farhana Khan</t>
        </is>
      </c>
      <c r="D7" t="n">
        <v>70</v>
      </c>
      <c r="E7" t="n">
        <v>80</v>
      </c>
      <c r="F7" t="n">
        <v>85</v>
      </c>
    </row>
    <row r="8">
      <c r="A8" t="n">
        <v>7</v>
      </c>
      <c r="B8" t="inlineStr">
        <is>
          <t>24CS107</t>
        </is>
      </c>
      <c r="C8" t="inlineStr">
        <is>
          <t>Gautam Iyer</t>
        </is>
      </c>
      <c r="D8" t="n">
        <v>65</v>
      </c>
      <c r="E8" t="inlineStr">
        <is>
          <t>AA</t>
        </is>
      </c>
      <c r="F8" t="n">
        <v>72</v>
      </c>
    </row>
    <row r="9">
      <c r="A9" t="n">
        <v>8</v>
      </c>
      <c r="B9" t="inlineStr">
        <is>
          <t>24CS108</t>
        </is>
      </c>
      <c r="C9" t="inlineStr">
        <is>
          <t>Harini Sundar</t>
        </is>
      </c>
      <c r="D9" t="n">
        <v>98</v>
      </c>
      <c r="E9" t="n">
        <v>92</v>
      </c>
      <c r="F9" t="n">
        <v>96</v>
      </c>
    </row>
    <row r="10">
      <c r="A10" t="n">
        <v>9</v>
      </c>
      <c r="B10" t="inlineStr">
        <is>
          <t>24CS109</t>
        </is>
      </c>
      <c r="C10" t="inlineStr">
        <is>
          <t>Ishaan Malhotra</t>
        </is>
      </c>
      <c r="D10" t="n">
        <v>52</v>
      </c>
      <c r="E10" t="n">
        <v>60</v>
      </c>
      <c r="F10" t="n">
        <v>58</v>
      </c>
    </row>
    <row r="11">
      <c r="A11" t="n">
        <v>10</v>
      </c>
      <c r="B11" t="inlineStr">
        <is>
          <t>24CS110</t>
        </is>
      </c>
      <c r="C11" t="inlineStr">
        <is>
          <t>Janani Kumar</t>
        </is>
      </c>
      <c r="D11" t="n">
        <v>88</v>
      </c>
      <c r="E11" t="n">
        <v>94</v>
      </c>
      <c r="F11" t="n">
        <v>91</v>
      </c>
    </row>
    <row r="12">
      <c r="A12" s="1" t="n"/>
      <c r="B12" s="1" t="n"/>
      <c r="C12" s="2" t="inlineStr">
        <is>
          <t>appeared</t>
        </is>
      </c>
      <c r="D12" s="1">
        <f>10-COUNTIF(D2:D11,"aa")</f>
        <v/>
      </c>
      <c r="E12" s="1">
        <f>10-COUNTIF(E2:E11,"aa")</f>
        <v/>
      </c>
      <c r="F12" s="1">
        <f>10-COUNTIF(F2:F11,"aa")</f>
        <v/>
      </c>
    </row>
    <row r="13">
      <c r="A13" s="1" t="n"/>
      <c r="B13" s="1" t="n"/>
      <c r="C13" s="2" t="inlineStr">
        <is>
          <t xml:space="preserve">passed </t>
        </is>
      </c>
      <c r="D13" s="1">
        <f>COUNTIF(D2:D11,"&gt;=50")</f>
        <v/>
      </c>
      <c r="E13" s="1">
        <f>COUNTIF(E2:E11,"&gt;=50")</f>
        <v/>
      </c>
      <c r="F13" s="1">
        <f>COUNTIF(F2:F11,"&gt;=50")</f>
        <v/>
      </c>
    </row>
    <row r="14">
      <c r="A14" s="1" t="n"/>
      <c r="B14" s="1" t="n"/>
      <c r="C14" s="2" t="inlineStr">
        <is>
          <t>% passed</t>
        </is>
      </c>
      <c r="D14" s="1">
        <f>D13/D12*100</f>
        <v/>
      </c>
      <c r="E14" s="1">
        <f>E13/E12*100</f>
        <v/>
      </c>
      <c r="F14" s="1">
        <f>F13/F12*100</f>
        <v/>
      </c>
    </row>
    <row r="15">
      <c r="A15" s="1" t="n"/>
      <c r="B15" s="1" t="n"/>
      <c r="C15" s="2" t="inlineStr">
        <is>
          <t>below 50%</t>
        </is>
      </c>
      <c r="D15" s="1">
        <f>COUNTIF(D2:D11,"&lt;50")</f>
        <v/>
      </c>
      <c r="E15" s="1">
        <f>COUNTIF(E2:E11,"&lt;50")</f>
        <v/>
      </c>
      <c r="F15" s="1">
        <f>COUNTIF(F2:F11,"&lt;50")</f>
        <v/>
      </c>
    </row>
    <row r="16">
      <c r="A16" s="1" t="n"/>
      <c r="B16" s="1" t="n"/>
      <c r="C16" s="2" t="inlineStr">
        <is>
          <t>50%-60%</t>
        </is>
      </c>
      <c r="D16" s="1">
        <f>COUNTIFS(D2:D11,"&gt;=50",D2:D11,"&lt;=60")</f>
        <v/>
      </c>
      <c r="E16" s="1">
        <f>COUNTIFS(E2:E11,"&gt;=50",E2:E11,"&lt;=60")</f>
        <v/>
      </c>
      <c r="F16" s="1">
        <f>COUNTIFS(F2:F11,"&gt;=50",F2:F11,"&lt;=60")</f>
        <v/>
      </c>
    </row>
    <row r="17">
      <c r="A17" s="1" t="n"/>
      <c r="B17" s="1" t="n"/>
      <c r="C17" s="2" t="inlineStr">
        <is>
          <t>61%-70%</t>
        </is>
      </c>
      <c r="D17" s="1">
        <f>COUNTIFS(D2:D11,"&gt;=61",D2:D11,"&lt;=70")</f>
        <v/>
      </c>
      <c r="E17" s="1">
        <f>COUNTIFS(E2:E11,"&gt;=61",E2:E11,"&lt;=70")</f>
        <v/>
      </c>
      <c r="F17" s="1">
        <f>COUNTIFS(F2:F11,"&gt;=61",F2:F11,"&lt;=70")</f>
        <v/>
      </c>
    </row>
    <row r="18">
      <c r="A18" s="1" t="n"/>
      <c r="B18" s="1" t="n"/>
      <c r="C18" s="2" t="inlineStr">
        <is>
          <t>71%-80%</t>
        </is>
      </c>
      <c r="D18" s="1">
        <f>COUNTIFS(D2:D11,"&gt;=71",D2:D11,"&lt;=80")</f>
        <v/>
      </c>
      <c r="E18" s="1">
        <f>COUNTIFS(E2:E11,"&gt;=71",E2:E11,"&lt;=80")</f>
        <v/>
      </c>
      <c r="F18" s="1">
        <f>COUNTIFS(F2:F11,"&gt;=71",F2:F11,"&lt;=80")</f>
        <v/>
      </c>
    </row>
    <row r="19">
      <c r="A19" s="1" t="n"/>
      <c r="B19" s="1" t="n"/>
      <c r="C19" s="2" t="inlineStr">
        <is>
          <t>81%-90%</t>
        </is>
      </c>
      <c r="D19" s="1">
        <f>COUNTIFS(D2:D11,"&gt;=81",D2:D11,"&lt;=90")</f>
        <v/>
      </c>
      <c r="E19" s="1">
        <f>COUNTIFS(E2:E11,"&gt;=81",E2:E11,"&lt;=90")</f>
        <v/>
      </c>
      <c r="F19" s="1">
        <f>COUNTIFS(F2:F11,"&gt;=81",F2:F11,"&lt;=90")</f>
        <v/>
      </c>
    </row>
    <row r="20">
      <c r="A20" s="1" t="n"/>
      <c r="B20" s="1" t="n"/>
      <c r="C20" s="2" t="inlineStr">
        <is>
          <t>91%-100%</t>
        </is>
      </c>
      <c r="D20" s="1">
        <f>COUNTIFS(D2:D11,"&gt;=91",D2:D11,"&lt;=100")</f>
        <v/>
      </c>
      <c r="E20" s="1">
        <f>COUNTIFS(E2:E11,"&gt;=91",E2:E11,"&lt;=100")</f>
        <v/>
      </c>
      <c r="F20" s="1">
        <f>COUNTIFS(F2:F11,"&gt;=91",F2:F11,"&lt;=100")</f>
        <v/>
      </c>
    </row>
    <row r="21">
      <c r="B21" t="inlineStr">
        <is>
          <t>Class Incharge</t>
        </is>
      </c>
      <c r="E21" t="inlineStr">
        <is>
          <t>HOD / 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2026-09-24T10:30:48Z</dcterms:created>
  <dcterms:modified xsi:type="dcterms:W3CDTF">2026-09-24T10:30:48Z</dcterms:modified>
</cp:coreProperties>
</file>