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_4_Resul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ANNA UNIVERSITY AFFILIATED COLLEGE — DEPARTMENT OF ECE</t>
        </is>
      </c>
    </row>
    <row r="2">
      <c r="A2" t="inlineStr">
        <is>
          <t>Academic Year: 2025-2026 | Semester: IV | Batch: 2024-2028</t>
        </is>
      </c>
    </row>
    <row r="3">
      <c r="A3" t="inlineStr">
        <is>
          <t>Continuous Internal Assessment Mark Statement</t>
        </is>
      </c>
    </row>
    <row r="4">
      <c r="A4" t="inlineStr">
        <is>
          <t>Sl No</t>
        </is>
      </c>
      <c r="B4" t="inlineStr">
        <is>
          <t>Roll Number</t>
        </is>
      </c>
      <c r="C4" t="inlineStr">
        <is>
          <t>Name</t>
        </is>
      </c>
      <c r="D4" t="inlineStr">
        <is>
          <t>Physics</t>
        </is>
      </c>
      <c r="E4" t="inlineStr">
        <is>
          <t>Chemistry</t>
        </is>
      </c>
      <c r="F4" t="inlineStr">
        <is>
          <t>Mathematics</t>
        </is>
      </c>
      <c r="G4" t="inlineStr">
        <is>
          <t>Biology</t>
        </is>
      </c>
    </row>
    <row r="5">
      <c r="A5" t="n">
        <v>1</v>
      </c>
      <c r="B5" t="inlineStr">
        <is>
          <t>24EC001</t>
        </is>
      </c>
      <c r="C5" t="inlineStr">
        <is>
          <t>Student_1</t>
        </is>
      </c>
      <c r="D5" t="n">
        <v>42</v>
      </c>
      <c r="E5" t="n">
        <v>53</v>
      </c>
      <c r="F5" t="n">
        <v>49</v>
      </c>
      <c r="G5" t="n">
        <v>61</v>
      </c>
    </row>
    <row r="6">
      <c r="A6" t="n">
        <v>2</v>
      </c>
      <c r="B6" t="inlineStr">
        <is>
          <t>24EC002</t>
        </is>
      </c>
      <c r="C6" t="inlineStr">
        <is>
          <t>Student_2</t>
        </is>
      </c>
      <c r="D6" t="n">
        <v>44</v>
      </c>
      <c r="E6" t="n">
        <v>56</v>
      </c>
      <c r="F6" t="n">
        <v>53</v>
      </c>
      <c r="G6" t="n">
        <v>62</v>
      </c>
    </row>
    <row r="7">
      <c r="A7" t="n">
        <v>3</v>
      </c>
      <c r="B7" t="inlineStr">
        <is>
          <t>24EC003</t>
        </is>
      </c>
      <c r="C7" t="inlineStr">
        <is>
          <t>Student_3</t>
        </is>
      </c>
      <c r="D7" t="n">
        <v>46</v>
      </c>
      <c r="E7" t="n">
        <v>59</v>
      </c>
      <c r="F7" t="inlineStr">
        <is>
          <t>AA</t>
        </is>
      </c>
      <c r="G7" t="n">
        <v>63</v>
      </c>
    </row>
    <row r="8">
      <c r="A8" t="n">
        <v>4</v>
      </c>
      <c r="B8" t="inlineStr">
        <is>
          <t>24EC004</t>
        </is>
      </c>
      <c r="C8" t="inlineStr">
        <is>
          <t>Student_4</t>
        </is>
      </c>
      <c r="D8" t="n">
        <v>48</v>
      </c>
      <c r="E8" t="n">
        <v>62</v>
      </c>
      <c r="F8" t="n">
        <v>61</v>
      </c>
      <c r="G8" t="n">
        <v>64</v>
      </c>
    </row>
    <row r="9">
      <c r="A9" t="n">
        <v>5</v>
      </c>
      <c r="B9" t="inlineStr">
        <is>
          <t>24EC005</t>
        </is>
      </c>
      <c r="C9" t="inlineStr">
        <is>
          <t>Student_5</t>
        </is>
      </c>
      <c r="D9" t="n">
        <v>50</v>
      </c>
      <c r="E9" t="n">
        <v>65</v>
      </c>
      <c r="F9" t="n">
        <v>65</v>
      </c>
      <c r="G9" t="n">
        <v>65</v>
      </c>
    </row>
    <row r="10">
      <c r="A10" t="n">
        <v>6</v>
      </c>
      <c r="B10" t="inlineStr">
        <is>
          <t>24EC006</t>
        </is>
      </c>
      <c r="C10" t="inlineStr">
        <is>
          <t>Student_6</t>
        </is>
      </c>
      <c r="D10" t="n">
        <v>52</v>
      </c>
      <c r="E10" t="n">
        <v>68</v>
      </c>
      <c r="F10" t="n">
        <v>69</v>
      </c>
      <c r="G10" t="n">
        <v>66</v>
      </c>
    </row>
    <row r="11">
      <c r="A11" t="n">
        <v>7</v>
      </c>
      <c r="B11" t="inlineStr">
        <is>
          <t>24EC007</t>
        </is>
      </c>
      <c r="C11" t="inlineStr">
        <is>
          <t>Student_7</t>
        </is>
      </c>
      <c r="D11" t="n">
        <v>54</v>
      </c>
      <c r="E11" t="n">
        <v>71</v>
      </c>
      <c r="F11" t="n">
        <v>73</v>
      </c>
      <c r="G11" t="n">
        <v>67</v>
      </c>
    </row>
    <row r="12">
      <c r="A12" t="n">
        <v>8</v>
      </c>
      <c r="B12" t="inlineStr">
        <is>
          <t>24EC008</t>
        </is>
      </c>
      <c r="C12" t="inlineStr">
        <is>
          <t>Student_8</t>
        </is>
      </c>
      <c r="D12" t="n">
        <v>56</v>
      </c>
      <c r="E12" t="n">
        <v>74</v>
      </c>
      <c r="F12" t="n">
        <v>77</v>
      </c>
      <c r="G12" t="n">
        <v>68</v>
      </c>
    </row>
    <row r="13">
      <c r="A13" t="n">
        <v>9</v>
      </c>
      <c r="B13" t="inlineStr">
        <is>
          <t>24EC009</t>
        </is>
      </c>
      <c r="C13" t="inlineStr">
        <is>
          <t>Student_9</t>
        </is>
      </c>
      <c r="D13" t="n">
        <v>58</v>
      </c>
      <c r="E13" t="n">
        <v>77</v>
      </c>
      <c r="F13" t="n">
        <v>81</v>
      </c>
      <c r="G13" t="n">
        <v>69</v>
      </c>
    </row>
    <row r="14">
      <c r="A14" t="n">
        <v>10</v>
      </c>
      <c r="B14" t="inlineStr">
        <is>
          <t>24EC010</t>
        </is>
      </c>
      <c r="C14" t="inlineStr">
        <is>
          <t>Student_10</t>
        </is>
      </c>
      <c r="D14" t="n">
        <v>60</v>
      </c>
      <c r="E14" t="n">
        <v>80</v>
      </c>
      <c r="F14" t="n">
        <v>85</v>
      </c>
      <c r="G14" t="n">
        <v>70</v>
      </c>
    </row>
    <row r="15">
      <c r="A15" t="n">
        <v>11</v>
      </c>
      <c r="B15" t="inlineStr">
        <is>
          <t>24EC011</t>
        </is>
      </c>
      <c r="C15" t="inlineStr">
        <is>
          <t>Student_11</t>
        </is>
      </c>
      <c r="D15" t="n">
        <v>62</v>
      </c>
      <c r="E15" t="n">
        <v>83</v>
      </c>
      <c r="F15" t="n">
        <v>89</v>
      </c>
      <c r="G15" t="n">
        <v>71</v>
      </c>
    </row>
    <row r="16">
      <c r="A16" t="n">
        <v>12</v>
      </c>
      <c r="B16" t="inlineStr">
        <is>
          <t>24EC012</t>
        </is>
      </c>
      <c r="C16" t="inlineStr">
        <is>
          <t>Student_12</t>
        </is>
      </c>
      <c r="D16" t="n">
        <v>64</v>
      </c>
      <c r="E16" t="n">
        <v>86</v>
      </c>
      <c r="F16" t="n">
        <v>93</v>
      </c>
      <c r="G16" t="n">
        <v>72</v>
      </c>
    </row>
    <row r="17">
      <c r="A17" t="n">
        <v>13</v>
      </c>
      <c r="B17" t="inlineStr">
        <is>
          <t>24EC013</t>
        </is>
      </c>
      <c r="C17" t="inlineStr">
        <is>
          <t>Student_13</t>
        </is>
      </c>
      <c r="D17" t="n">
        <v>66</v>
      </c>
      <c r="E17" t="n">
        <v>89</v>
      </c>
      <c r="F17" t="n">
        <v>97</v>
      </c>
      <c r="G17" t="n">
        <v>73</v>
      </c>
    </row>
    <row r="18">
      <c r="A18" t="n">
        <v>14</v>
      </c>
      <c r="B18" t="inlineStr">
        <is>
          <t>24EC014</t>
        </is>
      </c>
      <c r="C18" t="inlineStr">
        <is>
          <t>Student_14</t>
        </is>
      </c>
      <c r="D18" t="n">
        <v>68</v>
      </c>
      <c r="E18" t="n">
        <v>92</v>
      </c>
      <c r="F18" t="n">
        <v>46</v>
      </c>
      <c r="G18" t="n">
        <v>74</v>
      </c>
    </row>
    <row r="19">
      <c r="A19" t="n">
        <v>15</v>
      </c>
      <c r="B19" t="inlineStr">
        <is>
          <t>24EC015</t>
        </is>
      </c>
      <c r="C19" t="inlineStr">
        <is>
          <t>Student_15</t>
        </is>
      </c>
      <c r="D19" t="n">
        <v>70</v>
      </c>
      <c r="E19" t="n">
        <v>95</v>
      </c>
      <c r="F19" t="inlineStr">
        <is>
          <t>AA</t>
        </is>
      </c>
      <c r="G19" t="n">
        <v>75</v>
      </c>
    </row>
    <row r="20">
      <c r="A20" t="n">
        <v>16</v>
      </c>
      <c r="B20" t="inlineStr">
        <is>
          <t>24EC016</t>
        </is>
      </c>
      <c r="C20" t="inlineStr">
        <is>
          <t>Student_16</t>
        </is>
      </c>
      <c r="D20" t="n">
        <v>72</v>
      </c>
      <c r="E20" t="n">
        <v>98</v>
      </c>
      <c r="F20" t="n">
        <v>54</v>
      </c>
      <c r="G20" t="n">
        <v>76</v>
      </c>
    </row>
    <row r="21">
      <c r="A21" t="n">
        <v>17</v>
      </c>
      <c r="B21" t="inlineStr">
        <is>
          <t>24EC017</t>
        </is>
      </c>
      <c r="C21" t="inlineStr">
        <is>
          <t>Student_17</t>
        </is>
      </c>
      <c r="D21" t="n">
        <v>74</v>
      </c>
      <c r="E21" t="n">
        <v>51</v>
      </c>
      <c r="F21" t="n">
        <v>58</v>
      </c>
      <c r="G21" t="n">
        <v>77</v>
      </c>
    </row>
    <row r="22">
      <c r="A22" t="n">
        <v>18</v>
      </c>
      <c r="B22" t="inlineStr">
        <is>
          <t>24EC018</t>
        </is>
      </c>
      <c r="C22" t="inlineStr">
        <is>
          <t>Student_18</t>
        </is>
      </c>
      <c r="D22" t="n">
        <v>76</v>
      </c>
      <c r="E22" t="n">
        <v>54</v>
      </c>
      <c r="F22" t="n">
        <v>62</v>
      </c>
      <c r="G22" t="n">
        <v>78</v>
      </c>
    </row>
    <row r="23">
      <c r="A23" t="n">
        <v>19</v>
      </c>
      <c r="B23" t="inlineStr">
        <is>
          <t>24EC019</t>
        </is>
      </c>
      <c r="C23" t="inlineStr">
        <is>
          <t>Student_19</t>
        </is>
      </c>
      <c r="D23" t="n">
        <v>78</v>
      </c>
      <c r="E23" t="n">
        <v>57</v>
      </c>
      <c r="F23" t="n">
        <v>66</v>
      </c>
      <c r="G23" t="n">
        <v>79</v>
      </c>
    </row>
    <row r="24">
      <c r="A24" t="n">
        <v>20</v>
      </c>
      <c r="B24" t="inlineStr">
        <is>
          <t>24EC020</t>
        </is>
      </c>
      <c r="C24" t="inlineStr">
        <is>
          <t>Student_20</t>
        </is>
      </c>
      <c r="D24" t="n">
        <v>80</v>
      </c>
      <c r="E24" t="n">
        <v>60</v>
      </c>
      <c r="F24" t="n">
        <v>70</v>
      </c>
      <c r="G24" t="n">
        <v>80</v>
      </c>
    </row>
    <row r="25">
      <c r="A25" t="n">
        <v>21</v>
      </c>
      <c r="B25" t="inlineStr">
        <is>
          <t>24EC021</t>
        </is>
      </c>
      <c r="C25" t="inlineStr">
        <is>
          <t>Student_21</t>
        </is>
      </c>
      <c r="D25" t="n">
        <v>82</v>
      </c>
      <c r="E25" t="n">
        <v>63</v>
      </c>
      <c r="F25" t="n">
        <v>74</v>
      </c>
      <c r="G25" t="n">
        <v>81</v>
      </c>
    </row>
    <row r="26">
      <c r="A26" t="n">
        <v>22</v>
      </c>
      <c r="B26" t="inlineStr">
        <is>
          <t>24EC022</t>
        </is>
      </c>
      <c r="C26" t="inlineStr">
        <is>
          <t>Student_22</t>
        </is>
      </c>
      <c r="D26" t="n">
        <v>84</v>
      </c>
      <c r="E26" t="n">
        <v>66</v>
      </c>
      <c r="F26" t="n">
        <v>78</v>
      </c>
      <c r="G26" t="n">
        <v>82</v>
      </c>
    </row>
    <row r="27">
      <c r="A27" t="n">
        <v>23</v>
      </c>
      <c r="B27" t="inlineStr">
        <is>
          <t>24EC023</t>
        </is>
      </c>
      <c r="C27" t="inlineStr">
        <is>
          <t>Student_23</t>
        </is>
      </c>
      <c r="D27" t="n">
        <v>86</v>
      </c>
      <c r="E27" t="n">
        <v>69</v>
      </c>
      <c r="F27" t="n">
        <v>82</v>
      </c>
      <c r="G27" t="n">
        <v>83</v>
      </c>
    </row>
    <row r="28">
      <c r="A28" t="n">
        <v>24</v>
      </c>
      <c r="B28" t="inlineStr">
        <is>
          <t>24EC024</t>
        </is>
      </c>
      <c r="C28" t="inlineStr">
        <is>
          <t>Student_24</t>
        </is>
      </c>
      <c r="D28" t="n">
        <v>88</v>
      </c>
      <c r="E28" t="n">
        <v>72</v>
      </c>
      <c r="F28" t="n">
        <v>86</v>
      </c>
      <c r="G28" t="n">
        <v>84</v>
      </c>
    </row>
    <row r="29">
      <c r="A29" t="n">
        <v>25</v>
      </c>
      <c r="B29" t="inlineStr">
        <is>
          <t>24EC025</t>
        </is>
      </c>
      <c r="C29" t="inlineStr">
        <is>
          <t>Student_25</t>
        </is>
      </c>
      <c r="D29" t="n">
        <v>90</v>
      </c>
      <c r="E29" t="n">
        <v>75</v>
      </c>
      <c r="F29" t="n">
        <v>90</v>
      </c>
      <c r="G29" t="n">
        <v>85</v>
      </c>
    </row>
    <row r="30">
      <c r="A30" s="1" t="n"/>
      <c r="B30" s="1" t="n"/>
      <c r="C30" s="2" t="inlineStr">
        <is>
          <t>appeared</t>
        </is>
      </c>
      <c r="D30" s="1">
        <f>25-COUNTIF(D5:D29,"aa")</f>
        <v/>
      </c>
      <c r="E30" s="1">
        <f>25-COUNTIF(E5:E29,"aa")</f>
        <v/>
      </c>
      <c r="F30" s="1">
        <f>25-COUNTIF(F5:F29,"aa")</f>
        <v/>
      </c>
      <c r="G30" s="1">
        <f>25-COUNTIF(G5:G29,"aa")</f>
        <v/>
      </c>
    </row>
    <row r="31">
      <c r="A31" s="1" t="n"/>
      <c r="B31" s="1" t="n"/>
      <c r="C31" s="2" t="inlineStr">
        <is>
          <t xml:space="preserve">passed </t>
        </is>
      </c>
      <c r="D31" s="1">
        <f>COUNTIF(D5:D29,"&gt;=50")</f>
        <v/>
      </c>
      <c r="E31" s="1">
        <f>COUNTIF(E5:E29,"&gt;=50")</f>
        <v/>
      </c>
      <c r="F31" s="1">
        <f>COUNTIF(F5:F29,"&gt;=50")</f>
        <v/>
      </c>
      <c r="G31" s="1">
        <f>COUNTIF(G5:G29,"&gt;=50")</f>
        <v/>
      </c>
    </row>
    <row r="32">
      <c r="A32" s="1" t="n"/>
      <c r="B32" s="1" t="n"/>
      <c r="C32" s="2" t="inlineStr">
        <is>
          <t>% passed</t>
        </is>
      </c>
      <c r="D32" s="1">
        <f>D31/D30*100</f>
        <v/>
      </c>
      <c r="E32" s="1">
        <f>E31/E30*100</f>
        <v/>
      </c>
      <c r="F32" s="1">
        <f>F31/F30*100</f>
        <v/>
      </c>
      <c r="G32" s="1">
        <f>G31/G30*100</f>
        <v/>
      </c>
    </row>
    <row r="33">
      <c r="A33" s="1" t="n"/>
      <c r="B33" s="1" t="n"/>
      <c r="C33" s="2" t="inlineStr">
        <is>
          <t>below 50%</t>
        </is>
      </c>
      <c r="D33" s="1">
        <f>COUNTIF(D5:D29,"&lt;50")</f>
        <v/>
      </c>
      <c r="E33" s="1">
        <f>COUNTIF(E5:E29,"&lt;50")</f>
        <v/>
      </c>
      <c r="F33" s="1">
        <f>COUNTIF(F5:F29,"&lt;50")</f>
        <v/>
      </c>
      <c r="G33" s="1">
        <f>COUNTIF(G5:G29,"&lt;50")</f>
        <v/>
      </c>
    </row>
    <row r="34">
      <c r="A34" s="1" t="n"/>
      <c r="B34" s="1" t="n"/>
      <c r="C34" s="2" t="inlineStr">
        <is>
          <t>50%-60%</t>
        </is>
      </c>
      <c r="D34" s="1">
        <f>COUNTIFS(D5:D29,"&gt;=50",D5:D29,"&lt;=60")</f>
        <v/>
      </c>
      <c r="E34" s="1">
        <f>COUNTIFS(E5:E29,"&gt;=50",E5:E29,"&lt;=60")</f>
        <v/>
      </c>
      <c r="F34" s="1">
        <f>COUNTIFS(F5:F29,"&gt;=50",F5:F29,"&lt;=60")</f>
        <v/>
      </c>
      <c r="G34" s="1">
        <f>COUNTIFS(G5:G29,"&gt;=50",G5:G29,"&lt;=60")</f>
        <v/>
      </c>
    </row>
    <row r="35">
      <c r="A35" s="1" t="n"/>
      <c r="B35" s="1" t="n"/>
      <c r="C35" s="2" t="inlineStr">
        <is>
          <t>61%-70%</t>
        </is>
      </c>
      <c r="D35" s="1">
        <f>COUNTIFS(D5:D29,"&gt;=61",D5:D29,"&lt;=70")</f>
        <v/>
      </c>
      <c r="E35" s="1">
        <f>COUNTIFS(E5:E29,"&gt;=61",E5:E29,"&lt;=70")</f>
        <v/>
      </c>
      <c r="F35" s="1">
        <f>COUNTIFS(F5:F29,"&gt;=61",F5:F29,"&lt;=70")</f>
        <v/>
      </c>
      <c r="G35" s="1">
        <f>COUNTIFS(G5:G29,"&gt;=61",G5:G29,"&lt;=70")</f>
        <v/>
      </c>
    </row>
    <row r="36">
      <c r="A36" s="1" t="n"/>
      <c r="B36" s="1" t="n"/>
      <c r="C36" s="2" t="inlineStr">
        <is>
          <t>71%-80%</t>
        </is>
      </c>
      <c r="D36" s="1">
        <f>COUNTIFS(D5:D29,"&gt;=71",D5:D29,"&lt;=80")</f>
        <v/>
      </c>
      <c r="E36" s="1">
        <f>COUNTIFS(E5:E29,"&gt;=71",E5:E29,"&lt;=80")</f>
        <v/>
      </c>
      <c r="F36" s="1">
        <f>COUNTIFS(F5:F29,"&gt;=71",F5:F29,"&lt;=80")</f>
        <v/>
      </c>
      <c r="G36" s="1">
        <f>COUNTIFS(G5:G29,"&gt;=71",G5:G29,"&lt;=80")</f>
        <v/>
      </c>
    </row>
    <row r="37">
      <c r="A37" s="1" t="n"/>
      <c r="B37" s="1" t="n"/>
      <c r="C37" s="2" t="inlineStr">
        <is>
          <t>81%-90%</t>
        </is>
      </c>
      <c r="D37" s="1">
        <f>COUNTIFS(D5:D29,"&gt;=81",D5:D29,"&lt;=90")</f>
        <v/>
      </c>
      <c r="E37" s="1">
        <f>COUNTIFS(E5:E29,"&gt;=81",E5:E29,"&lt;=90")</f>
        <v/>
      </c>
      <c r="F37" s="1">
        <f>COUNTIFS(F5:F29,"&gt;=81",F5:F29,"&lt;=90")</f>
        <v/>
      </c>
      <c r="G37" s="1">
        <f>COUNTIFS(G5:G29,"&gt;=81",G5:G29,"&lt;=90")</f>
        <v/>
      </c>
    </row>
    <row r="38">
      <c r="A38" s="1" t="n"/>
      <c r="B38" s="1" t="n"/>
      <c r="C38" s="2" t="inlineStr">
        <is>
          <t>91%-100%</t>
        </is>
      </c>
      <c r="D38" s="1">
        <f>COUNTIFS(D5:D29,"&gt;=91",D5:D29,"&lt;=100")</f>
        <v/>
      </c>
      <c r="E38" s="1">
        <f>COUNTIFS(E5:E29,"&gt;=91",E5:E29,"&lt;=100")</f>
        <v/>
      </c>
      <c r="F38" s="1">
        <f>COUNTIFS(F5:F29,"&gt;=91",F5:F29,"&lt;=100")</f>
        <v/>
      </c>
      <c r="G38" s="1">
        <f>COUNTIFS(G5:G29,"&gt;=91",G5:G29,"&lt;=100")</f>
        <v/>
      </c>
    </row>
    <row r="39"/>
    <row r="40"/>
    <row r="41"/>
    <row r="42"/>
    <row r="43">
      <c r="B43" t="inlineStr">
        <is>
          <t>Subject Faculty</t>
        </is>
      </c>
      <c r="E43" t="inlineStr">
        <is>
          <t>Principal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Grading Guidelines</t>
        </is>
      </c>
      <c r="B1" t="inlineStr">
        <is>
          <t>Rules</t>
        </is>
      </c>
    </row>
    <row r="2">
      <c r="A2" t="inlineStr">
        <is>
          <t>Pass Mark</t>
        </is>
      </c>
      <c r="B2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2026-09-24T10:30:48Z</dcterms:created>
  <dcterms:modified xsi:type="dcterms:W3CDTF">2026-09-24T10:30:49Z</dcterms:modified>
</cp:coreProperties>
</file>