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of Physics  |  Subject: Quantum Mechanics  |  Semester: IV  |  Section: A</t>
        </is>
      </c>
    </row>
    <row r="2">
      <c r="A2" t="inlineStr">
        <is>
          <t>Sl.No</t>
        </is>
      </c>
      <c r="B2" t="inlineStr">
        <is>
          <t>Roll No</t>
        </is>
      </c>
      <c r="C2" t="inlineStr">
        <is>
          <t>Name</t>
        </is>
      </c>
      <c r="D2" t="inlineStr">
        <is>
          <t>Internal 1</t>
        </is>
      </c>
      <c r="E2" t="inlineStr">
        <is>
          <t>Internal 2</t>
        </is>
      </c>
    </row>
    <row r="3">
      <c r="A3" t="n">
        <v>1</v>
      </c>
      <c r="B3" t="inlineStr">
        <is>
          <t>PH001</t>
        </is>
      </c>
      <c r="C3" t="inlineStr">
        <is>
          <t>Ananya Sharma</t>
        </is>
      </c>
      <c r="D3" t="n">
        <v>78</v>
      </c>
      <c r="E3" t="n">
        <v>85</v>
      </c>
    </row>
    <row r="4">
      <c r="A4" t="n">
        <v>2</v>
      </c>
      <c r="B4" t="inlineStr">
        <is>
          <t>PH002</t>
        </is>
      </c>
      <c r="C4" t="inlineStr">
        <is>
          <t>Rahul Verma</t>
        </is>
      </c>
      <c r="D4" t="inlineStr">
        <is>
          <t>AA</t>
        </is>
      </c>
      <c r="E4" t="n">
        <v>60</v>
      </c>
    </row>
    <row r="5">
      <c r="A5" t="n">
        <v>3</v>
      </c>
      <c r="B5" t="inlineStr">
        <is>
          <t>PH003</t>
        </is>
      </c>
      <c r="C5" t="inlineStr">
        <is>
          <t>Priya Singh</t>
        </is>
      </c>
      <c r="D5" t="n">
        <v>45</v>
      </c>
      <c r="E5" t="n">
        <v>70</v>
      </c>
    </row>
    <row r="6">
      <c r="A6" s="1" t="n"/>
      <c r="B6" s="1" t="n"/>
      <c r="C6" s="2" t="inlineStr">
        <is>
          <t>appeared</t>
        </is>
      </c>
      <c r="D6" s="1">
        <f>3-COUNTIF(D3:D5,"aa")</f>
        <v/>
      </c>
      <c r="E6" s="1" t="n"/>
    </row>
    <row r="7">
      <c r="A7" s="1" t="n"/>
      <c r="B7" s="1" t="n"/>
      <c r="C7" s="2" t="inlineStr">
        <is>
          <t xml:space="preserve">passed </t>
        </is>
      </c>
      <c r="D7" s="1">
        <f>COUNTIF(D3:D5,"&gt;=50")</f>
        <v/>
      </c>
      <c r="E7" s="1" t="n"/>
    </row>
    <row r="8">
      <c r="A8" s="1" t="n"/>
      <c r="B8" s="1" t="n"/>
      <c r="C8" s="2" t="inlineStr">
        <is>
          <t>% passed</t>
        </is>
      </c>
      <c r="D8" s="1">
        <f>D7/D6*100</f>
        <v/>
      </c>
      <c r="E8" s="1" t="n"/>
    </row>
    <row r="9">
      <c r="A9" s="1" t="n"/>
      <c r="B9" s="1" t="n"/>
      <c r="C9" s="2" t="inlineStr">
        <is>
          <t>below 50%</t>
        </is>
      </c>
      <c r="D9" s="1">
        <f>COUNTIF(D3:D5,"&lt;50")</f>
        <v/>
      </c>
      <c r="E9" s="1" t="n"/>
    </row>
    <row r="10">
      <c r="A10" s="1" t="n"/>
      <c r="B10" s="1" t="n"/>
      <c r="C10" s="2" t="inlineStr">
        <is>
          <t>50%-60%</t>
        </is>
      </c>
      <c r="D10" s="1">
        <f>COUNTIFS(D3:D5,"&gt;=50",D3:D5,"&lt;=60")</f>
        <v/>
      </c>
      <c r="E10" s="1" t="n"/>
    </row>
    <row r="11">
      <c r="A11" s="1" t="n"/>
      <c r="B11" s="1" t="n"/>
      <c r="C11" s="2" t="inlineStr">
        <is>
          <t>61%-70%</t>
        </is>
      </c>
      <c r="D11" s="1">
        <f>COUNTIFS(D3:D5,"&gt;=61",D3:D5,"&lt;=70")</f>
        <v/>
      </c>
      <c r="E11" s="1" t="n"/>
    </row>
    <row r="12">
      <c r="A12" s="1" t="n"/>
      <c r="B12" s="1" t="n"/>
      <c r="C12" s="2" t="inlineStr">
        <is>
          <t>71%-80%</t>
        </is>
      </c>
      <c r="D12" s="1">
        <f>COUNTIFS(D3:D5,"&gt;=71",D3:D5,"&lt;=80")</f>
        <v/>
      </c>
      <c r="E12" s="1" t="n"/>
    </row>
    <row r="13">
      <c r="A13" s="1" t="n"/>
      <c r="B13" s="1" t="n"/>
      <c r="C13" s="2" t="inlineStr">
        <is>
          <t>81%-90%</t>
        </is>
      </c>
      <c r="D13" s="1">
        <f>COUNTIFS(D3:D5,"&gt;=81",D3:D5,"&lt;=90")</f>
        <v/>
      </c>
      <c r="E13" s="1" t="n"/>
    </row>
    <row r="14">
      <c r="A14" s="1" t="n"/>
      <c r="B14" s="1" t="n"/>
      <c r="C14" s="2" t="inlineStr">
        <is>
          <t>91%-100%</t>
        </is>
      </c>
      <c r="D14" s="1">
        <f>COUNTIFS(D3:D5,"&gt;=91",D3:D5,"&lt;=100")</f>
        <v/>
      </c>
      <c r="E14" s="1" t="n"/>
    </row>
    <row r="15"/>
    <row r="16">
      <c r="B16" t="inlineStr">
        <is>
          <t>Staff Incharge</t>
        </is>
      </c>
      <c r="E16" t="inlineStr">
        <is>
          <t>HOD/Physics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2026-09-24T10:31:09Z</dcterms:created>
  <dcterms:modified xsi:type="dcterms:W3CDTF">2026-09-24T10:31:09Z</dcterms:modified>
</cp:coreProperties>
</file>