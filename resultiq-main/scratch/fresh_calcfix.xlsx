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Age Group</t>
        </is>
      </c>
      <c r="C1" t="inlineStr">
        <is>
          <t>Response Text</t>
        </is>
      </c>
      <c r="D1" t="inlineStr">
        <is>
          <t>Rating (1-5)</t>
        </is>
      </c>
    </row>
    <row r="2">
      <c r="A2" t="n">
        <v>1</v>
      </c>
      <c r="B2" t="inlineStr">
        <is>
          <t>18-25</t>
        </is>
      </c>
      <c r="C2" t="inlineStr">
        <is>
          <t>Excellent</t>
        </is>
      </c>
      <c r="D2" t="n">
        <v>5</v>
      </c>
    </row>
    <row r="3">
      <c r="A3" t="n">
        <v>2</v>
      </c>
      <c r="B3" t="inlineStr">
        <is>
          <t>26-35</t>
        </is>
      </c>
      <c r="C3" t="inlineStr">
        <is>
          <t>Good</t>
        </is>
      </c>
      <c r="D3" t="n">
        <v>4</v>
      </c>
    </row>
    <row r="4">
      <c r="A4" s="1">
        <f>2-COUNTIF(A2:A3,"aa")</f>
        <v/>
      </c>
      <c r="B4" s="1" t="n"/>
      <c r="C4" s="1" t="n"/>
      <c r="D4" s="1">
        <f>2-COUNTIF(D2:D3,"aa")</f>
        <v/>
      </c>
    </row>
    <row r="5">
      <c r="A5" s="1">
        <f>COUNTIF(A2:A3,"&gt;=50")</f>
        <v/>
      </c>
      <c r="B5" s="1" t="n"/>
      <c r="C5" s="1" t="n"/>
      <c r="D5" s="1">
        <f>COUNTIF(D2:D3,"&gt;=50")</f>
        <v/>
      </c>
    </row>
    <row r="6">
      <c r="A6" s="1">
        <f>A5/A4*100</f>
        <v/>
      </c>
      <c r="B6" s="1" t="n"/>
      <c r="C6" s="1" t="n"/>
      <c r="D6" s="1">
        <f>D5/D4*100</f>
        <v/>
      </c>
    </row>
    <row r="7">
      <c r="A7" s="1">
        <f>COUNTIF(A2:A3,"&lt;50")</f>
        <v/>
      </c>
      <c r="B7" s="1" t="n"/>
      <c r="C7" s="1" t="n"/>
      <c r="D7" s="1">
        <f>COUNTIF(D2:D3,"&lt;50")</f>
        <v/>
      </c>
    </row>
    <row r="8">
      <c r="A8" s="1">
        <f>COUNTIFS(A2:A3,"&gt;=50",A2:A3,"&lt;=60")</f>
        <v/>
      </c>
      <c r="B8" s="1" t="n"/>
      <c r="C8" s="1" t="n"/>
      <c r="D8" s="1">
        <f>COUNTIFS(D2:D3,"&gt;=50",D2:D3,"&lt;=60")</f>
        <v/>
      </c>
    </row>
    <row r="9">
      <c r="A9" s="1">
        <f>COUNTIFS(A2:A3,"&gt;=61",A2:A3,"&lt;=70")</f>
        <v/>
      </c>
      <c r="B9" s="1" t="n"/>
      <c r="C9" s="1" t="n"/>
      <c r="D9" s="1">
        <f>COUNTIFS(D2:D3,"&gt;=61",D2:D3,"&lt;=70")</f>
        <v/>
      </c>
    </row>
    <row r="10">
      <c r="A10" s="1">
        <f>COUNTIFS(A2:A3,"&gt;=71",A2:A3,"&lt;=80")</f>
        <v/>
      </c>
      <c r="B10" s="1" t="n"/>
      <c r="C10" s="1" t="n"/>
      <c r="D10" s="1">
        <f>COUNTIFS(D2:D3,"&gt;=71",D2:D3,"&lt;=80")</f>
        <v/>
      </c>
    </row>
    <row r="11">
      <c r="A11" s="1">
        <f>COUNTIFS(A2:A3,"&gt;=81",A2:A3,"&lt;=90")</f>
        <v/>
      </c>
      <c r="B11" s="1" t="n"/>
      <c r="C11" s="1" t="n"/>
      <c r="D11" s="1">
        <f>COUNTIFS(D2:D3,"&gt;=81",D2:D3,"&lt;=90")</f>
        <v/>
      </c>
    </row>
    <row r="12">
      <c r="A12" s="1">
        <f>COUNTIFS(A2:A3,"&gt;=91",A2:A3,"&lt;=100")</f>
        <v/>
      </c>
      <c r="B12" s="1" t="n"/>
      <c r="C12" s="1" t="n"/>
      <c r="D12" s="1">
        <f>COUNTIFS(D2:D3,"&gt;=91",D2:D3,"&lt;=100")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2026-09-24T10:31:11Z</dcterms:created>
  <dcterms:modified xsi:type="dcterms:W3CDTF">2026-09-25T14:55:44Z</dcterms:modified>
</cp:coreProperties>
</file>